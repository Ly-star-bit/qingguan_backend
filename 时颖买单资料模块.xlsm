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RPAProject\web_vba\"/>
    </mc:Choice>
  </mc:AlternateContent>
  <xr:revisionPtr revIDLastSave="0" documentId="13_ncr:1_{4D0FB90C-87A5-4E6B-A19F-9E0AB8516E32}" xr6:coauthVersionLast="47" xr6:coauthVersionMax="47" xr10:uidLastSave="{00000000-0000-0000-0000-000000000000}"/>
  <bookViews>
    <workbookView xWindow="1673" yWindow="563" windowWidth="19770" windowHeight="10875" xr2:uid="{00000000-000D-0000-FFFF-FFFF00000000}"/>
  </bookViews>
  <sheets>
    <sheet name="操作区" sheetId="1" r:id="rId1"/>
    <sheet name="数据区" sheetId="4" r:id="rId2"/>
    <sheet name="输出区" sheetId="2" r:id="rId3"/>
    <sheet name="托书" sheetId="5" r:id="rId4"/>
    <sheet name="发票" sheetId="6" r:id="rId5"/>
    <sheet name="装箱单" sheetId="7" r:id="rId6"/>
    <sheet name="报关单1" sheetId="8" r:id="rId7"/>
    <sheet name="申报要素" sheetId="9" r:id="rId8"/>
    <sheet name="合同" sheetId="10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0" l="1"/>
  <c r="B10" i="10"/>
  <c r="A9" i="10"/>
  <c r="A8" i="10"/>
  <c r="E7" i="10"/>
  <c r="E6" i="10"/>
  <c r="E5" i="10"/>
  <c r="A5" i="10"/>
  <c r="A2" i="10"/>
  <c r="A1" i="10"/>
  <c r="B18" i="8"/>
  <c r="B14" i="8"/>
  <c r="D12" i="8"/>
  <c r="I10" i="8"/>
  <c r="F10" i="8"/>
  <c r="D10" i="8"/>
  <c r="A7" i="8"/>
  <c r="A5" i="8"/>
  <c r="E10" i="7"/>
  <c r="B10" i="7"/>
  <c r="A9" i="7"/>
  <c r="A8" i="7"/>
  <c r="F7" i="7"/>
  <c r="E7" i="7"/>
  <c r="E6" i="7"/>
  <c r="E5" i="7"/>
  <c r="A5" i="7"/>
  <c r="A2" i="7"/>
  <c r="A1" i="7"/>
  <c r="E10" i="6"/>
  <c r="B10" i="6"/>
  <c r="A9" i="6"/>
  <c r="A8" i="6"/>
  <c r="F7" i="6"/>
  <c r="E7" i="6"/>
  <c r="E6" i="6"/>
  <c r="E5" i="6"/>
  <c r="A5" i="6"/>
  <c r="A2" i="6"/>
  <c r="A1" i="6"/>
  <c r="C17" i="5"/>
  <c r="E14" i="5"/>
  <c r="C14" i="5"/>
  <c r="B14" i="5"/>
  <c r="A14" i="5"/>
  <c r="S13" i="5"/>
  <c r="R13" i="5"/>
  <c r="Q13" i="5"/>
  <c r="N13" i="5"/>
  <c r="M13" i="5"/>
  <c r="I13" i="5"/>
  <c r="H13" i="5"/>
  <c r="F13" i="5"/>
  <c r="E13" i="5"/>
  <c r="D13" i="5"/>
  <c r="C13" i="5"/>
  <c r="B13" i="5"/>
  <c r="A13" i="5"/>
  <c r="U12" i="5"/>
  <c r="T12" i="5"/>
  <c r="S12" i="5"/>
  <c r="R12" i="5"/>
  <c r="P12" i="5"/>
  <c r="O12" i="5"/>
  <c r="L12" i="5"/>
  <c r="K12" i="5"/>
  <c r="H12" i="5"/>
  <c r="F12" i="5"/>
  <c r="E12" i="5"/>
  <c r="D12" i="5"/>
  <c r="C12" i="5"/>
  <c r="B12" i="5"/>
  <c r="A12" i="5"/>
  <c r="A10" i="5"/>
  <c r="A8" i="5"/>
  <c r="A7" i="5"/>
</calcChain>
</file>

<file path=xl/sharedStrings.xml><?xml version="1.0" encoding="utf-8"?>
<sst xmlns="http://schemas.openxmlformats.org/spreadsheetml/2006/main" count="149" uniqueCount="126">
  <si>
    <t>品名</t>
  </si>
  <si>
    <t>英文</t>
  </si>
  <si>
    <t>织造方式</t>
  </si>
  <si>
    <t>海关编码</t>
  </si>
  <si>
    <t>成分</t>
  </si>
  <si>
    <t>填充物</t>
  </si>
  <si>
    <t>客户Sku</t>
  </si>
  <si>
    <t>数量</t>
  </si>
  <si>
    <t>要素备注</t>
  </si>
  <si>
    <t>重量</t>
  </si>
  <si>
    <t>规格</t>
  </si>
  <si>
    <t>ASIN</t>
  </si>
  <si>
    <t>品牌</t>
  </si>
  <si>
    <t>公司英文抬头名称</t>
  </si>
  <si>
    <t>SHENZHEN JUNWEIHENG TECHNOLOGY CO.,LTD </t>
  </si>
  <si>
    <t>公司英文地址</t>
  </si>
  <si>
    <t>NO.701, BLOCK A, SHENFANG BUILDING NORTH HUAQIANG STREET, FUTIAN DISTRCT, SHENZHEN PROVINCE </t>
  </si>
  <si>
    <t>收货人公司抬头及公司地址 （如是FBA仓库可写代码，如是私人地址,商业地址必须填写完整）</t>
  </si>
  <si>
    <t>AMAZON/ 21700 COPLEY DR, SUITE 268F DIAMOND BAR, CA 91765</t>
  </si>
  <si>
    <t>报关模式：</t>
  </si>
  <si>
    <t xml:space="preserve">A.自有国内报关抬头 </t>
  </si>
  <si>
    <t>B.买单出口</t>
  </si>
  <si>
    <t>Y</t>
  </si>
  <si>
    <t>清关模式：</t>
  </si>
  <si>
    <t xml:space="preserve">A.自有BOND </t>
  </si>
  <si>
    <t>B.借用BOND</t>
  </si>
  <si>
    <t>税金结算：</t>
  </si>
  <si>
    <t xml:space="preserve">A.包税清关 </t>
  </si>
  <si>
    <t>B.税金实报实销</t>
  </si>
  <si>
    <t>运输方式：</t>
  </si>
  <si>
    <t xml:space="preserve">A.美森+快递 </t>
  </si>
  <si>
    <t xml:space="preserve">B.普船+快递 </t>
  </si>
  <si>
    <t xml:space="preserve">C.经济拼箱服务 </t>
  </si>
  <si>
    <t>D.海运+卡车专线</t>
  </si>
  <si>
    <t>E.空运+卡车</t>
  </si>
  <si>
    <t xml:space="preserve">F.空运+快递 </t>
  </si>
  <si>
    <t>是否带电：</t>
  </si>
  <si>
    <t>带电/不带电</t>
  </si>
  <si>
    <t>是否带磁：</t>
  </si>
  <si>
    <t>带磁/不带磁</t>
  </si>
  <si>
    <t>发票号：</t>
  </si>
  <si>
    <t>INVOICE NO.: 2019/03/21</t>
  </si>
  <si>
    <t>合同号：</t>
  </si>
  <si>
    <t>CONTRACT NO.: LAX20190321</t>
  </si>
  <si>
    <t>日期：</t>
  </si>
  <si>
    <t xml:space="preserve">DATE: </t>
  </si>
  <si>
    <t>支付条款</t>
  </si>
  <si>
    <t>PAYMENT: T/T</t>
  </si>
  <si>
    <t>成交方式:</t>
  </si>
  <si>
    <t>FOB</t>
  </si>
  <si>
    <t>预定船期/航班日期：</t>
  </si>
  <si>
    <t>ONE/CK</t>
  </si>
  <si>
    <t>始发港</t>
  </si>
  <si>
    <t>SHIPMENT FROM : QUANZHOU</t>
  </si>
  <si>
    <t>境内货源地：</t>
  </si>
  <si>
    <t>泉州</t>
  </si>
  <si>
    <t>海运整箱箱型：</t>
  </si>
  <si>
    <t>40GP</t>
  </si>
  <si>
    <t>日的港及描述</t>
  </si>
  <si>
    <t>TO:US BY AIR</t>
  </si>
  <si>
    <t>抵运国：</t>
  </si>
  <si>
    <t>美国</t>
  </si>
  <si>
    <t>SHIPPING MARK</t>
  </si>
  <si>
    <t>N/M</t>
  </si>
  <si>
    <t>根据箱单中的显示</t>
  </si>
  <si>
    <t>DESCRIPTION OF GOODS</t>
  </si>
  <si>
    <t>英文品名</t>
  </si>
  <si>
    <t xml:space="preserve">QUANTITY </t>
  </si>
  <si>
    <t>单位</t>
  </si>
  <si>
    <t>单价</t>
  </si>
  <si>
    <t>合计</t>
  </si>
  <si>
    <t>Carton</t>
  </si>
  <si>
    <t>量纲</t>
  </si>
  <si>
    <t>毛重</t>
  </si>
  <si>
    <t>净重</t>
  </si>
  <si>
    <t>根据实际箱单中计算</t>
  </si>
  <si>
    <t>修改成箱单中的“申报要素”内容，除去英文字母段和无品牌</t>
  </si>
  <si>
    <t>增加一列品牌</t>
  </si>
  <si>
    <t>HS CODE</t>
  </si>
  <si>
    <t>立方数</t>
  </si>
  <si>
    <t>申报要素</t>
  </si>
  <si>
    <t>唯凯供应链管理有限公司</t>
  </si>
  <si>
    <t>Booking Order</t>
  </si>
  <si>
    <r>
      <rPr>
        <sz val="10"/>
        <rFont val="Times New Roman"/>
        <family val="1"/>
      </rPr>
      <t xml:space="preserve">  Shipper address (</t>
    </r>
    <r>
      <rPr>
        <sz val="10"/>
        <rFont val="Arial Unicode MS"/>
        <family val="2"/>
      </rPr>
      <t>寄件方公司名，地址，联系人，电话</t>
    </r>
    <r>
      <rPr>
        <sz val="10"/>
        <rFont val="Times New Roman"/>
        <family val="1"/>
      </rPr>
      <t>)</t>
    </r>
  </si>
  <si>
    <r>
      <rPr>
        <sz val="10"/>
        <rFont val="Times New Roman"/>
        <family val="1"/>
      </rPr>
      <t xml:space="preserve">  Consignee address</t>
    </r>
    <r>
      <rPr>
        <sz val="10"/>
        <rFont val="Arial Unicode MS"/>
        <family val="2"/>
      </rPr>
      <t>（收件方公司名，地址，联系人，电话）</t>
    </r>
  </si>
  <si>
    <r>
      <rPr>
        <sz val="11"/>
        <rFont val="宋体"/>
        <family val="3"/>
        <charset val="134"/>
      </rPr>
      <t>预定船期</t>
    </r>
    <r>
      <rPr>
        <sz val="11"/>
        <rFont val="Arial"/>
        <family val="2"/>
      </rPr>
      <t>/</t>
    </r>
    <r>
      <rPr>
        <sz val="11"/>
        <rFont val="宋体"/>
        <family val="3"/>
        <charset val="134"/>
      </rPr>
      <t>航班日期：</t>
    </r>
  </si>
  <si>
    <t>PO/CA/CK</t>
  </si>
  <si>
    <t>总件数：</t>
  </si>
  <si>
    <t>CTNS</t>
  </si>
  <si>
    <t>总毛重：</t>
  </si>
  <si>
    <t>KGS</t>
  </si>
  <si>
    <t>总体积：</t>
  </si>
  <si>
    <t>CBM</t>
  </si>
  <si>
    <t>托运人证实表中所填写全部属实并愿意遵守承运人的一切载运章程</t>
  </si>
  <si>
    <t>COMMERCIAL INVOICE</t>
  </si>
  <si>
    <t>INCOTERM</t>
  </si>
  <si>
    <t xml:space="preserve">QUANTITY  </t>
  </si>
  <si>
    <t>UNIT PRICE (USD)</t>
  </si>
  <si>
    <t>TOTAL PRICE (USD)</t>
  </si>
  <si>
    <t>PACKING LIST</t>
  </si>
  <si>
    <t xml:space="preserve"> </t>
  </si>
  <si>
    <t>CARTON</t>
  </si>
  <si>
    <t>G.W（KGS)</t>
  </si>
  <si>
    <r>
      <rPr>
        <sz val="12"/>
        <rFont val="Arial"/>
        <family val="2"/>
      </rPr>
      <t>N.W</t>
    </r>
    <r>
      <rPr>
        <sz val="12"/>
        <rFont val="宋体"/>
        <family val="3"/>
        <charset val="134"/>
      </rPr>
      <t>（</t>
    </r>
    <r>
      <rPr>
        <sz val="12"/>
        <rFont val="Arial"/>
        <family val="2"/>
      </rPr>
      <t>KGS)</t>
    </r>
  </si>
  <si>
    <r>
      <rPr>
        <sz val="11"/>
        <rFont val="Arial"/>
        <family val="2"/>
      </rPr>
      <t xml:space="preserve">Measurement
</t>
    </r>
    <r>
      <rPr>
        <sz val="10"/>
        <rFont val="Arial"/>
        <family val="2"/>
      </rPr>
      <t>(M3)</t>
    </r>
  </si>
  <si>
    <t>空运</t>
  </si>
  <si>
    <t>一般贸易</t>
  </si>
  <si>
    <t xml:space="preserve"> 一般征税</t>
  </si>
  <si>
    <t xml:space="preserve"> 000/</t>
  </si>
  <si>
    <t>纸箱</t>
  </si>
  <si>
    <t>成份</t>
  </si>
  <si>
    <t>织造，染整方法</t>
  </si>
  <si>
    <t>CONTRACT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</si>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</sst>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USD]\ #,##0.00;[$USD]\ \-#,##0.00"/>
    <numFmt numFmtId="177" formatCode="&quot;$&quot;#,##0.00;\-&quot;$&quot;#,##0.00"/>
    <numFmt numFmtId="178" formatCode="0.00_ "/>
  </numFmts>
  <fonts count="21">
    <font>
      <sz val="11"/>
      <color theme="1"/>
      <name val="等线"/>
      <charset val="134"/>
      <scheme val="minor"/>
    </font>
    <font>
      <b/>
      <sz val="16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name val="SimSun"/>
      <charset val="134"/>
    </font>
    <font>
      <sz val="10"/>
      <name val="宋体"/>
      <charset val="134"/>
    </font>
    <font>
      <sz val="10"/>
      <name val="楷体_GB2312"/>
      <charset val="134"/>
    </font>
    <font>
      <b/>
      <sz val="16"/>
      <name val="黑体"/>
      <family val="3"/>
      <charset val="134"/>
    </font>
    <font>
      <sz val="10"/>
      <name val="Times New Roman"/>
      <family val="1"/>
    </font>
    <font>
      <sz val="11"/>
      <name val="宋体"/>
      <family val="3"/>
      <charset val="134"/>
    </font>
    <font>
      <sz val="14"/>
      <name val="Times New Roman"/>
      <family val="1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2"/>
      <color rgb="FF000000"/>
      <name val="Arial"/>
      <family val="2"/>
    </font>
    <font>
      <sz val="11"/>
      <color rgb="FF000000"/>
      <name val="Aptos Narrow"/>
      <family val="2"/>
    </font>
    <font>
      <sz val="11"/>
      <color theme="1"/>
      <name val="等线"/>
      <family val="3"/>
      <charset val="134"/>
      <scheme val="minor"/>
    </font>
    <font>
      <sz val="10"/>
      <name val="Arial Unicode MS"/>
      <family val="2"/>
    </font>
    <font>
      <sz val="12"/>
      <name val="宋体"/>
      <family val="3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7" fillId="0" borderId="0">
      <alignment vertical="center"/>
    </xf>
  </cellStyleXfs>
  <cellXfs count="99">
    <xf numFmtId="0" fontId="0" fillId="0" borderId="0" xfId="0"/>
    <xf numFmtId="176" fontId="0" fillId="0" borderId="0" xfId="0" applyNumberFormat="1"/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vertical="center"/>
    </xf>
    <xf numFmtId="176" fontId="5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5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0" xfId="0" applyFont="1"/>
    <xf numFmtId="0" fontId="5" fillId="0" borderId="0" xfId="0" applyFon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177" fontId="10" fillId="0" borderId="0" xfId="0" applyNumberFormat="1" applyFont="1" applyAlignment="1">
      <alignment horizontal="center"/>
    </xf>
    <xf numFmtId="177" fontId="10" fillId="0" borderId="0" xfId="0" applyNumberFormat="1" applyFont="1"/>
    <xf numFmtId="0" fontId="10" fillId="0" borderId="0" xfId="0" applyFont="1" applyAlignment="1">
      <alignment horizontal="center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58" fontId="0" fillId="0" borderId="0" xfId="0" applyNumberFormat="1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7" fillId="0" borderId="0" xfId="0" applyFont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/>
    <xf numFmtId="0" fontId="3" fillId="0" borderId="4" xfId="0" applyFont="1" applyBorder="1" applyAlignment="1">
      <alignment horizontal="center" vertical="center"/>
    </xf>
    <xf numFmtId="178" fontId="3" fillId="0" borderId="0" xfId="0" applyNumberFormat="1" applyFont="1"/>
    <xf numFmtId="0" fontId="5" fillId="0" borderId="0" xfId="0" applyFont="1" applyAlignment="1">
      <alignment horizontal="left" vertical="top" wrapText="1"/>
    </xf>
    <xf numFmtId="178" fontId="5" fillId="0" borderId="0" xfId="0" applyNumberFormat="1" applyFont="1" applyAlignment="1">
      <alignment vertical="center"/>
    </xf>
    <xf numFmtId="0" fontId="5" fillId="0" borderId="5" xfId="0" applyFont="1" applyBorder="1" applyAlignment="1">
      <alignment vertical="center"/>
    </xf>
    <xf numFmtId="178" fontId="5" fillId="0" borderId="5" xfId="0" applyNumberFormat="1" applyFont="1" applyBorder="1" applyAlignment="1">
      <alignment vertical="center"/>
    </xf>
    <xf numFmtId="178" fontId="3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3" fillId="2" borderId="0" xfId="0" applyFont="1" applyFill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 wrapText="1"/>
    </xf>
    <xf numFmtId="14" fontId="13" fillId="0" borderId="0" xfId="0" applyNumberFormat="1" applyFont="1" applyAlignment="1">
      <alignment vertical="center"/>
    </xf>
    <xf numFmtId="0" fontId="13" fillId="0" borderId="0" xfId="0" applyFont="1" applyAlignment="1">
      <alignment horizontal="right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3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top" wrapText="1"/>
    </xf>
    <xf numFmtId="0" fontId="3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178" fontId="1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78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58" fontId="0" fillId="0" borderId="0" xfId="0" applyNumberFormat="1" applyAlignment="1">
      <alignment horizontal="center" vertical="top"/>
    </xf>
    <xf numFmtId="0" fontId="7" fillId="0" borderId="0" xfId="0" applyFont="1" applyAlignment="1">
      <alignment horizontal="right"/>
    </xf>
    <xf numFmtId="0" fontId="10" fillId="0" borderId="0" xfId="0" applyFont="1" applyAlignment="1">
      <alignment horizontal="left"/>
    </xf>
  </cellXfs>
  <cellStyles count="2">
    <cellStyle name="常规" xfId="0" builtinId="0"/>
    <cellStyle name="常规 5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9524</xdr:rowOff>
    </xdr:from>
    <xdr:to>
      <xdr:col>4</xdr:col>
      <xdr:colOff>0</xdr:colOff>
      <xdr:row>3</xdr:row>
      <xdr:rowOff>161924</xdr:rowOff>
    </xdr:to>
    <xdr:sp macro="" textlink="">
      <xdr:nvSpPr>
        <xdr:cNvPr id="5" name="流程图: 终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43965" y="184150"/>
          <a:ext cx="1224915" cy="502920"/>
        </a:xfrm>
        <a:prstGeom prst="flowChartTerminator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开始</a:t>
          </a:r>
        </a:p>
      </xdr:txBody>
    </xdr:sp>
    <xdr:clientData/>
  </xdr:twoCellAnchor>
  <xdr:twoCellAnchor>
    <xdr:from>
      <xdr:col>2</xdr:col>
      <xdr:colOff>14289</xdr:colOff>
      <xdr:row>6</xdr:row>
      <xdr:rowOff>23812</xdr:rowOff>
    </xdr:from>
    <xdr:to>
      <xdr:col>3</xdr:col>
      <xdr:colOff>642939</xdr:colOff>
      <xdr:row>8</xdr:row>
      <xdr:rowOff>147637</xdr:rowOff>
    </xdr:to>
    <xdr:sp macro="[0]!数据还原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48410" y="1075055"/>
          <a:ext cx="1220470" cy="47434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数据还原</a:t>
          </a:r>
          <a:r>
            <a:rPr lang="en-US" altLang="zh-CN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清楚往期数据</a:t>
          </a:r>
        </a:p>
      </xdr:txBody>
    </xdr:sp>
    <xdr:clientData/>
  </xdr:twoCellAnchor>
  <xdr:twoCellAnchor>
    <xdr:from>
      <xdr:col>2</xdr:col>
      <xdr:colOff>14288</xdr:colOff>
      <xdr:row>11</xdr:row>
      <xdr:rowOff>19048</xdr:rowOff>
    </xdr:from>
    <xdr:to>
      <xdr:col>3</xdr:col>
      <xdr:colOff>642938</xdr:colOff>
      <xdr:row>13</xdr:row>
      <xdr:rowOff>142873</xdr:rowOff>
    </xdr:to>
    <xdr:sp macro="[0]!导入装箱单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48410" y="1946275"/>
          <a:ext cx="1220470" cy="47434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导入装箱清单</a:t>
          </a:r>
        </a:p>
      </xdr:txBody>
    </xdr:sp>
    <xdr:clientData/>
  </xdr:twoCellAnchor>
  <xdr:twoCellAnchor>
    <xdr:from>
      <xdr:col>2</xdr:col>
      <xdr:colOff>9526</xdr:colOff>
      <xdr:row>16</xdr:row>
      <xdr:rowOff>14287</xdr:rowOff>
    </xdr:from>
    <xdr:to>
      <xdr:col>4</xdr:col>
      <xdr:colOff>1</xdr:colOff>
      <xdr:row>18</xdr:row>
      <xdr:rowOff>157162</xdr:rowOff>
    </xdr:to>
    <xdr:sp macro="" textlink="">
      <xdr:nvSpPr>
        <xdr:cNvPr id="8" name="流程图: 决策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43965" y="2818130"/>
          <a:ext cx="1224915" cy="493395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还有箱单</a:t>
          </a:r>
        </a:p>
      </xdr:txBody>
    </xdr:sp>
    <xdr:clientData/>
  </xdr:twoCellAnchor>
  <xdr:twoCellAnchor>
    <xdr:from>
      <xdr:col>2</xdr:col>
      <xdr:colOff>14287</xdr:colOff>
      <xdr:row>21</xdr:row>
      <xdr:rowOff>33336</xdr:rowOff>
    </xdr:from>
    <xdr:to>
      <xdr:col>3</xdr:col>
      <xdr:colOff>642937</xdr:colOff>
      <xdr:row>23</xdr:row>
      <xdr:rowOff>157161</xdr:rowOff>
    </xdr:to>
    <xdr:sp macro="[0]!生产生成器总表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48410" y="3713480"/>
          <a:ext cx="1220470" cy="47434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生成器总表</a:t>
          </a:r>
        </a:p>
      </xdr:txBody>
    </xdr:sp>
    <xdr:clientData/>
  </xdr:twoCellAnchor>
  <xdr:twoCellAnchor>
    <xdr:from>
      <xdr:col>3</xdr:col>
      <xdr:colOff>4763</xdr:colOff>
      <xdr:row>3</xdr:row>
      <xdr:rowOff>161924</xdr:rowOff>
    </xdr:from>
    <xdr:to>
      <xdr:col>3</xdr:col>
      <xdr:colOff>4764</xdr:colOff>
      <xdr:row>6</xdr:row>
      <xdr:rowOff>23812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>
          <a:stCxn id="5" idx="2"/>
          <a:endCxn id="6" idx="0"/>
        </xdr:cNvCxnSpPr>
      </xdr:nvCxnSpPr>
      <xdr:spPr>
        <a:xfrm>
          <a:off x="1856105" y="687070"/>
          <a:ext cx="0" cy="38798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4763</xdr:colOff>
      <xdr:row>8</xdr:row>
      <xdr:rowOff>147637</xdr:rowOff>
    </xdr:from>
    <xdr:to>
      <xdr:col>3</xdr:col>
      <xdr:colOff>4764</xdr:colOff>
      <xdr:row>11</xdr:row>
      <xdr:rowOff>19048</xdr:rowOff>
    </xdr:to>
    <xdr:cxnSp macro="">
      <xdr:nvCxnSpPr>
        <xdr:cNvPr id="14" name="直接箭头连接符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>
          <a:stCxn id="6" idx="2"/>
          <a:endCxn id="7" idx="0"/>
        </xdr:cNvCxnSpPr>
      </xdr:nvCxnSpPr>
      <xdr:spPr>
        <a:xfrm flipH="1">
          <a:off x="1856105" y="1549400"/>
          <a:ext cx="0" cy="39687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4763</xdr:colOff>
      <xdr:row>13</xdr:row>
      <xdr:rowOff>142873</xdr:rowOff>
    </xdr:from>
    <xdr:to>
      <xdr:col>3</xdr:col>
      <xdr:colOff>4764</xdr:colOff>
      <xdr:row>16</xdr:row>
      <xdr:rowOff>14287</xdr:rowOff>
    </xdr:to>
    <xdr:cxnSp macro="">
      <xdr:nvCxnSpPr>
        <xdr:cNvPr id="19" name="直接箭头连接符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>
          <a:stCxn id="7" idx="2"/>
          <a:endCxn id="8" idx="0"/>
        </xdr:cNvCxnSpPr>
      </xdr:nvCxnSpPr>
      <xdr:spPr>
        <a:xfrm>
          <a:off x="1856105" y="2420620"/>
          <a:ext cx="0" cy="39751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</xdr:colOff>
      <xdr:row>18</xdr:row>
      <xdr:rowOff>157162</xdr:rowOff>
    </xdr:from>
    <xdr:to>
      <xdr:col>3</xdr:col>
      <xdr:colOff>4764</xdr:colOff>
      <xdr:row>21</xdr:row>
      <xdr:rowOff>33336</xdr:rowOff>
    </xdr:to>
    <xdr:cxnSp macro="">
      <xdr:nvCxnSpPr>
        <xdr:cNvPr id="23" name="直接箭头连接符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>
          <a:stCxn id="8" idx="2"/>
          <a:endCxn id="9" idx="0"/>
        </xdr:cNvCxnSpPr>
      </xdr:nvCxnSpPr>
      <xdr:spPr>
        <a:xfrm flipH="1">
          <a:off x="1856105" y="3311525"/>
          <a:ext cx="0" cy="40195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1785</xdr:colOff>
      <xdr:row>23</xdr:row>
      <xdr:rowOff>157161</xdr:rowOff>
    </xdr:from>
    <xdr:to>
      <xdr:col>3</xdr:col>
      <xdr:colOff>4166</xdr:colOff>
      <xdr:row>26</xdr:row>
      <xdr:rowOff>36908</xdr:rowOff>
    </xdr:to>
    <xdr:cxnSp macro="">
      <xdr:nvCxnSpPr>
        <xdr:cNvPr id="28" name="直接箭头连接符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stCxn id="9" idx="2"/>
          <a:endCxn id="17" idx="0"/>
        </xdr:cNvCxnSpPr>
      </xdr:nvCxnSpPr>
      <xdr:spPr>
        <a:xfrm flipH="1">
          <a:off x="1852930" y="4187825"/>
          <a:ext cx="2540" cy="40576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9526</xdr:colOff>
      <xdr:row>12</xdr:row>
      <xdr:rowOff>80961</xdr:rowOff>
    </xdr:from>
    <xdr:to>
      <xdr:col>2</xdr:col>
      <xdr:colOff>14288</xdr:colOff>
      <xdr:row>17</xdr:row>
      <xdr:rowOff>85724</xdr:rowOff>
    </xdr:to>
    <xdr:cxnSp macro="">
      <xdr:nvCxnSpPr>
        <xdr:cNvPr id="31" name="肘形连接符 3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>
          <a:stCxn id="8" idx="1"/>
          <a:endCxn id="7" idx="1"/>
        </xdr:cNvCxnSpPr>
      </xdr:nvCxnSpPr>
      <xdr:spPr>
        <a:xfrm rot="10800000" flipH="1">
          <a:off x="1243965" y="2183765"/>
          <a:ext cx="4445" cy="880745"/>
        </a:xfrm>
        <a:prstGeom prst="bentConnector3">
          <a:avLst>
            <a:gd name="adj1" fmla="val -6900714"/>
          </a:avLst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604838</xdr:colOff>
      <xdr:row>18</xdr:row>
      <xdr:rowOff>100012</xdr:rowOff>
    </xdr:from>
    <xdr:to>
      <xdr:col>3</xdr:col>
      <xdr:colOff>204788</xdr:colOff>
      <xdr:row>19</xdr:row>
      <xdr:rowOff>152399</xdr:rowOff>
    </xdr:to>
    <xdr:sp macro="" textlink="">
      <xdr:nvSpPr>
        <xdr:cNvPr id="32" name="矩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838960" y="3254375"/>
          <a:ext cx="217170" cy="2273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1</xdr:col>
      <xdr:colOff>323849</xdr:colOff>
      <xdr:row>16</xdr:row>
      <xdr:rowOff>33338</xdr:rowOff>
    </xdr:from>
    <xdr:to>
      <xdr:col>1</xdr:col>
      <xdr:colOff>571499</xdr:colOff>
      <xdr:row>17</xdr:row>
      <xdr:rowOff>85725</xdr:rowOff>
    </xdr:to>
    <xdr:sp macro="" textlink="">
      <xdr:nvSpPr>
        <xdr:cNvPr id="36" name="矩形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940435" y="2837180"/>
          <a:ext cx="247650" cy="22796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2</xdr:col>
      <xdr:colOff>11906</xdr:colOff>
      <xdr:row>26</xdr:row>
      <xdr:rowOff>36908</xdr:rowOff>
    </xdr:from>
    <xdr:to>
      <xdr:col>3</xdr:col>
      <xdr:colOff>640556</xdr:colOff>
      <xdr:row>28</xdr:row>
      <xdr:rowOff>160733</xdr:rowOff>
    </xdr:to>
    <xdr:sp macro="[0]!生成其他文件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45870" y="4593590"/>
          <a:ext cx="1223010" cy="47434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生成其他表</a:t>
          </a:r>
        </a:p>
      </xdr:txBody>
    </xdr:sp>
    <xdr:clientData/>
  </xdr:twoCellAnchor>
  <xdr:twoCellAnchor>
    <xdr:from>
      <xdr:col>3</xdr:col>
      <xdr:colOff>1359</xdr:colOff>
      <xdr:row>28</xdr:row>
      <xdr:rowOff>160733</xdr:rowOff>
    </xdr:from>
    <xdr:to>
      <xdr:col>3</xdr:col>
      <xdr:colOff>3061</xdr:colOff>
      <xdr:row>31</xdr:row>
      <xdr:rowOff>26702</xdr:rowOff>
    </xdr:to>
    <xdr:cxnSp macro="">
      <xdr:nvCxnSpPr>
        <xdr:cNvPr id="20" name="直接箭头连接符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>
          <a:stCxn id="17" idx="2"/>
          <a:endCxn id="21" idx="0"/>
        </xdr:cNvCxnSpPr>
      </xdr:nvCxnSpPr>
      <xdr:spPr>
        <a:xfrm flipH="1">
          <a:off x="1852930" y="5067935"/>
          <a:ext cx="1270" cy="39179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6805</xdr:colOff>
      <xdr:row>36</xdr:row>
      <xdr:rowOff>20412</xdr:rowOff>
    </xdr:from>
    <xdr:to>
      <xdr:col>3</xdr:col>
      <xdr:colOff>644980</xdr:colOff>
      <xdr:row>38</xdr:row>
      <xdr:rowOff>172810</xdr:rowOff>
    </xdr:to>
    <xdr:sp macro="" textlink="">
      <xdr:nvSpPr>
        <xdr:cNvPr id="18" name="流程图: 终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240790" y="6329680"/>
          <a:ext cx="1228090" cy="502920"/>
        </a:xfrm>
        <a:prstGeom prst="flowChartTerminator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结束</a:t>
          </a:r>
        </a:p>
      </xdr:txBody>
    </xdr:sp>
    <xdr:clientData/>
  </xdr:twoCellAnchor>
  <xdr:twoCellAnchor>
    <xdr:from>
      <xdr:col>2</xdr:col>
      <xdr:colOff>10204</xdr:colOff>
      <xdr:row>31</xdr:row>
      <xdr:rowOff>26702</xdr:rowOff>
    </xdr:from>
    <xdr:to>
      <xdr:col>3</xdr:col>
      <xdr:colOff>638854</xdr:colOff>
      <xdr:row>33</xdr:row>
      <xdr:rowOff>150528</xdr:rowOff>
    </xdr:to>
    <xdr:sp macro="[0]!生成报关文档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44600" y="5459730"/>
          <a:ext cx="1224280" cy="47434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生成报关文档</a:t>
          </a:r>
        </a:p>
      </xdr:txBody>
    </xdr:sp>
    <xdr:clientData/>
  </xdr:twoCellAnchor>
  <xdr:twoCellAnchor>
    <xdr:from>
      <xdr:col>3</xdr:col>
      <xdr:colOff>1359</xdr:colOff>
      <xdr:row>33</xdr:row>
      <xdr:rowOff>150528</xdr:rowOff>
    </xdr:from>
    <xdr:to>
      <xdr:col>3</xdr:col>
      <xdr:colOff>2723</xdr:colOff>
      <xdr:row>36</xdr:row>
      <xdr:rowOff>20412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>
          <a:stCxn id="21" idx="2"/>
          <a:endCxn id="18" idx="0"/>
        </xdr:cNvCxnSpPr>
      </xdr:nvCxnSpPr>
      <xdr:spPr>
        <a:xfrm>
          <a:off x="1852930" y="5934075"/>
          <a:ext cx="1270" cy="395605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146050</xdr:colOff>
      <xdr:row>0</xdr:row>
      <xdr:rowOff>69850</xdr:rowOff>
    </xdr:from>
    <xdr:to>
      <xdr:col>1</xdr:col>
      <xdr:colOff>954881</xdr:colOff>
      <xdr:row>3</xdr:row>
      <xdr:rowOff>21148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146050" y="69850"/>
          <a:ext cx="1494155" cy="47688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topLeftCell="A8" workbookViewId="0">
      <selection activeCell="H11" sqref="H11"/>
    </sheetView>
  </sheetViews>
  <sheetFormatPr defaultColWidth="9" defaultRowHeight="13.9"/>
  <sheetData/>
  <phoneticPr fontId="20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2"/>
  <sheetViews>
    <sheetView topLeftCell="J1" workbookViewId="0">
      <selection activeCell="M2" sqref="M2"/>
    </sheetView>
  </sheetViews>
  <sheetFormatPr defaultColWidth="9" defaultRowHeight="13.9"/>
  <cols>
    <col min="1" max="1" width="17.86328125" customWidth="1"/>
    <col min="2" max="2" width="20.796875" customWidth="1"/>
    <col min="3" max="3" width="12.6640625" customWidth="1"/>
    <col min="5" max="5" width="9.1328125" customWidth="1"/>
    <col min="6" max="6" width="24.46484375" customWidth="1"/>
    <col min="7" max="7" width="27.46484375" customWidth="1"/>
    <col min="9" max="9" width="87.33203125" customWidth="1"/>
    <col min="10" max="10" width="21.796875" customWidth="1"/>
    <col min="11" max="11" width="20.6640625" customWidth="1"/>
    <col min="12" max="12" width="36.1328125" customWidth="1"/>
    <col min="13" max="13" width="12.19921875" customWidth="1"/>
    <col min="14" max="14" width="69.53125" bestFit="1" customWidth="1"/>
    <col min="15" max="16" width="12.19921875" customWidth="1"/>
    <col min="17" max="17" width="10.06640625" bestFit="1" customWidth="1"/>
    <col min="18" max="18" width="25.86328125" customWidth="1"/>
    <col min="19" max="19" width="12.33203125" bestFit="1" customWidth="1"/>
    <col min="20" max="21" width="12.19921875" customWidth="1"/>
    <col min="22" max="22" width="10.06640625" bestFit="1" customWidth="1"/>
  </cols>
  <sheetData>
    <row r="1" spans="1:13">
      <c r="A1" t="s">
        <v>113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</row>
    <row r="2" spans="1:1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</row>
  </sheetData>
  <phoneticPr fontId="20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19"/>
  <sheetViews>
    <sheetView topLeftCell="A11" workbookViewId="0">
      <selection activeCell="A20" sqref="A20:XFD1048576"/>
    </sheetView>
  </sheetViews>
  <sheetFormatPr defaultColWidth="9" defaultRowHeight="13.9"/>
  <cols>
    <col min="1" max="1" width="24.46484375" customWidth="1"/>
    <col min="2" max="2" width="20.46484375" customWidth="1"/>
    <col min="3" max="3" width="10.46484375" customWidth="1"/>
    <col min="4" max="4" width="16.86328125" customWidth="1"/>
    <col min="5" max="5" width="16.46484375" customWidth="1"/>
    <col min="6" max="6" width="12.19921875" customWidth="1"/>
    <col min="7" max="7" width="9.53125" customWidth="1"/>
    <col min="8" max="10" width="7.46484375" customWidth="1"/>
    <col min="11" max="12" width="8.46484375" customWidth="1"/>
    <col min="13" max="13" width="7.46484375" customWidth="1"/>
    <col min="14" max="14" width="15.46484375" customWidth="1"/>
    <col min="15" max="15" width="12.6640625" customWidth="1"/>
    <col min="16" max="16" width="55.46484375" customWidth="1"/>
    <col min="17" max="17" width="65.46484375" customWidth="1"/>
    <col min="18" max="18" width="10.46484375" customWidth="1"/>
  </cols>
  <sheetData>
    <row r="1" spans="1:19" ht="15">
      <c r="A1" s="51" t="s">
        <v>13</v>
      </c>
      <c r="B1" s="67" t="s">
        <v>14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51"/>
      <c r="Q1" s="51"/>
      <c r="R1" s="64"/>
      <c r="S1" s="65"/>
    </row>
    <row r="2" spans="1:19" ht="15">
      <c r="A2" s="51" t="s">
        <v>15</v>
      </c>
      <c r="B2" s="68" t="s">
        <v>16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51"/>
      <c r="Q2" s="51"/>
      <c r="R2" s="64"/>
      <c r="S2" s="65"/>
    </row>
    <row r="3" spans="1:19" ht="15">
      <c r="A3" s="51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51"/>
      <c r="Q3" s="51"/>
      <c r="R3" s="64"/>
      <c r="S3" s="65"/>
    </row>
    <row r="4" spans="1:19" ht="55.5">
      <c r="A4" s="55" t="s">
        <v>17</v>
      </c>
      <c r="B4" s="68" t="s">
        <v>18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51"/>
      <c r="Q4" s="51"/>
      <c r="R4" s="66"/>
      <c r="S4" s="65"/>
    </row>
    <row r="5" spans="1:19" ht="15" customHeight="1">
      <c r="A5" s="56" t="s">
        <v>19</v>
      </c>
      <c r="B5" s="55" t="s">
        <v>20</v>
      </c>
      <c r="C5" s="57"/>
      <c r="D5" s="57"/>
      <c r="E5" s="55" t="s">
        <v>21</v>
      </c>
      <c r="F5" s="58" t="s">
        <v>22</v>
      </c>
      <c r="G5" s="55"/>
      <c r="H5" s="55"/>
      <c r="I5" s="55"/>
      <c r="J5" s="55"/>
      <c r="K5" s="55"/>
      <c r="L5" s="55"/>
      <c r="M5" s="55"/>
      <c r="N5" s="55"/>
      <c r="O5" s="55"/>
      <c r="P5" s="51"/>
      <c r="Q5" s="51"/>
      <c r="R5" s="66"/>
      <c r="S5" s="65"/>
    </row>
    <row r="6" spans="1:19" ht="15">
      <c r="A6" s="56" t="s">
        <v>23</v>
      </c>
      <c r="B6" s="55" t="s">
        <v>24</v>
      </c>
      <c r="C6" s="57"/>
      <c r="D6" s="57"/>
      <c r="E6" s="55" t="s">
        <v>25</v>
      </c>
      <c r="F6" s="58" t="s">
        <v>22</v>
      </c>
      <c r="G6" s="55"/>
      <c r="H6" s="55"/>
      <c r="I6" s="55"/>
      <c r="J6" s="55"/>
      <c r="K6" s="55"/>
      <c r="L6" s="55"/>
      <c r="M6" s="55"/>
      <c r="N6" s="55"/>
      <c r="O6" s="55"/>
      <c r="P6" s="51"/>
      <c r="Q6" s="51"/>
      <c r="R6" s="66"/>
      <c r="S6" s="65"/>
    </row>
    <row r="7" spans="1:19" ht="15">
      <c r="A7" s="56" t="s">
        <v>26</v>
      </c>
      <c r="B7" s="55" t="s">
        <v>27</v>
      </c>
      <c r="C7" s="57" t="s">
        <v>22</v>
      </c>
      <c r="D7" s="57"/>
      <c r="E7" s="55" t="s">
        <v>28</v>
      </c>
      <c r="F7" s="58"/>
      <c r="G7" s="55"/>
      <c r="H7" s="55"/>
      <c r="I7" s="55"/>
      <c r="J7" s="55"/>
      <c r="K7" s="55"/>
      <c r="L7" s="55"/>
      <c r="M7" s="55"/>
      <c r="N7" s="55"/>
      <c r="O7" s="55"/>
      <c r="P7" s="51"/>
      <c r="Q7" s="51"/>
      <c r="R7" s="66"/>
      <c r="S7" s="65"/>
    </row>
    <row r="8" spans="1:19" ht="15">
      <c r="A8" s="56" t="s">
        <v>29</v>
      </c>
      <c r="B8" s="55" t="s">
        <v>30</v>
      </c>
      <c r="C8" s="57"/>
      <c r="D8" s="57"/>
      <c r="E8" s="53" t="s">
        <v>31</v>
      </c>
      <c r="F8" s="59"/>
      <c r="G8" s="68" t="s">
        <v>32</v>
      </c>
      <c r="H8" s="68"/>
      <c r="I8" s="59"/>
      <c r="J8" s="68" t="s">
        <v>33</v>
      </c>
      <c r="K8" s="68"/>
      <c r="L8" s="70"/>
      <c r="M8" s="70"/>
      <c r="N8" s="55" t="s">
        <v>34</v>
      </c>
      <c r="O8" s="57" t="s">
        <v>22</v>
      </c>
      <c r="P8" s="51" t="s">
        <v>35</v>
      </c>
      <c r="Q8" s="57" t="s">
        <v>22</v>
      </c>
      <c r="R8" s="66"/>
      <c r="S8" s="65"/>
    </row>
    <row r="9" spans="1:19" ht="15">
      <c r="A9" s="56" t="s">
        <v>36</v>
      </c>
      <c r="B9" s="55" t="s">
        <v>37</v>
      </c>
      <c r="C9" s="68" t="s">
        <v>38</v>
      </c>
      <c r="D9" s="68"/>
      <c r="E9" s="68"/>
      <c r="F9" s="53" t="s">
        <v>39</v>
      </c>
      <c r="G9" s="53"/>
      <c r="H9" s="53"/>
      <c r="I9" s="53"/>
      <c r="J9" s="53"/>
      <c r="K9" s="53"/>
      <c r="L9" s="53"/>
      <c r="M9" s="53"/>
      <c r="N9" s="55"/>
      <c r="O9" s="55"/>
      <c r="P9" s="51"/>
      <c r="Q9" s="51"/>
      <c r="R9" s="66"/>
      <c r="S9" s="65"/>
    </row>
    <row r="10" spans="1:19" ht="15">
      <c r="A10" s="55"/>
      <c r="B10" s="55"/>
      <c r="C10" s="55"/>
      <c r="D10" s="55"/>
      <c r="E10" s="55"/>
      <c r="F10" s="53"/>
      <c r="G10" s="53"/>
      <c r="H10" s="53"/>
      <c r="I10" s="53"/>
      <c r="J10" s="55"/>
      <c r="K10" s="55"/>
      <c r="L10" s="55"/>
      <c r="M10" s="55"/>
      <c r="N10" s="55"/>
      <c r="O10" s="55"/>
      <c r="P10" s="51"/>
      <c r="Q10" s="51"/>
      <c r="R10" s="66"/>
      <c r="S10" s="65"/>
    </row>
    <row r="11" spans="1:19" ht="15">
      <c r="A11" s="51" t="s">
        <v>40</v>
      </c>
      <c r="B11" s="67" t="s">
        <v>41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51"/>
      <c r="Q11" s="51"/>
      <c r="R11" s="66"/>
      <c r="S11" s="65"/>
    </row>
    <row r="12" spans="1:19" ht="15">
      <c r="A12" s="51" t="s">
        <v>42</v>
      </c>
      <c r="B12" s="51" t="s">
        <v>43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64"/>
      <c r="S12" s="65"/>
    </row>
    <row r="13" spans="1:19" ht="15">
      <c r="A13" s="51" t="s">
        <v>44</v>
      </c>
      <c r="B13" s="51" t="s">
        <v>45</v>
      </c>
      <c r="C13" s="60">
        <v>43747</v>
      </c>
      <c r="D13" s="51"/>
      <c r="E13" s="51"/>
      <c r="F13" s="51"/>
      <c r="G13" s="51"/>
      <c r="H13" s="51"/>
      <c r="I13" s="51"/>
      <c r="J13" s="51"/>
      <c r="K13" s="54"/>
      <c r="L13" s="51"/>
      <c r="M13" s="51"/>
      <c r="N13" s="51"/>
      <c r="O13" s="51"/>
      <c r="P13" s="51"/>
      <c r="Q13" s="51"/>
      <c r="R13" s="64"/>
      <c r="S13" s="65"/>
    </row>
    <row r="14" spans="1:19" ht="15">
      <c r="A14" s="51" t="s">
        <v>46</v>
      </c>
      <c r="B14" s="52" t="s">
        <v>47</v>
      </c>
      <c r="C14" s="52"/>
      <c r="D14" s="52"/>
      <c r="E14" s="61"/>
      <c r="F14" s="52" t="s">
        <v>48</v>
      </c>
      <c r="G14" s="52"/>
      <c r="H14" s="52" t="s">
        <v>49</v>
      </c>
      <c r="I14" s="52"/>
      <c r="J14" s="52"/>
      <c r="K14" s="67" t="s">
        <v>50</v>
      </c>
      <c r="L14" s="67"/>
      <c r="M14" s="67" t="s">
        <v>51</v>
      </c>
      <c r="N14" s="67"/>
      <c r="O14" s="67"/>
      <c r="P14" s="67"/>
      <c r="Q14" s="51"/>
      <c r="R14" s="64"/>
      <c r="S14" s="65"/>
    </row>
    <row r="15" spans="1:19" ht="15">
      <c r="A15" s="51" t="s">
        <v>52</v>
      </c>
      <c r="B15" s="51" t="s">
        <v>53</v>
      </c>
      <c r="C15" s="51"/>
      <c r="D15" s="51"/>
      <c r="E15" s="51"/>
      <c r="F15" s="51" t="s">
        <v>54</v>
      </c>
      <c r="G15" s="51"/>
      <c r="H15" s="51" t="s">
        <v>55</v>
      </c>
      <c r="I15" s="51"/>
      <c r="J15" s="51"/>
      <c r="K15" s="67" t="s">
        <v>56</v>
      </c>
      <c r="L15" s="67"/>
      <c r="M15" s="67" t="s">
        <v>57</v>
      </c>
      <c r="N15" s="67"/>
      <c r="O15" s="67"/>
      <c r="P15" s="67"/>
      <c r="Q15" s="51"/>
      <c r="R15" s="64"/>
      <c r="S15" s="65"/>
    </row>
    <row r="16" spans="1:19" ht="15">
      <c r="A16" s="51" t="s">
        <v>58</v>
      </c>
      <c r="B16" s="51" t="s">
        <v>59</v>
      </c>
      <c r="C16" s="51"/>
      <c r="D16" s="51"/>
      <c r="E16" s="51"/>
      <c r="F16" s="51" t="s">
        <v>60</v>
      </c>
      <c r="G16" s="51"/>
      <c r="H16" s="51" t="s">
        <v>61</v>
      </c>
      <c r="I16" s="51"/>
      <c r="J16" s="51"/>
      <c r="K16" s="51"/>
      <c r="L16" s="51"/>
      <c r="M16" s="51"/>
      <c r="N16" s="51"/>
      <c r="O16" s="51"/>
      <c r="P16" s="51"/>
      <c r="Q16" s="51"/>
      <c r="R16" s="64"/>
      <c r="S16" s="65"/>
    </row>
    <row r="17" spans="1:19" ht="15">
      <c r="A17" s="51" t="s">
        <v>62</v>
      </c>
      <c r="B17" s="51" t="s">
        <v>63</v>
      </c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64"/>
      <c r="S17" s="65"/>
    </row>
    <row r="18" spans="1:19" ht="30" customHeight="1">
      <c r="A18" s="62" t="s">
        <v>64</v>
      </c>
      <c r="B18" s="72" t="s">
        <v>65</v>
      </c>
      <c r="C18" s="72"/>
      <c r="D18" s="73" t="s">
        <v>66</v>
      </c>
      <c r="E18" s="71" t="s">
        <v>67</v>
      </c>
      <c r="F18" s="71" t="s">
        <v>68</v>
      </c>
      <c r="G18" s="72" t="s">
        <v>69</v>
      </c>
      <c r="H18" s="72" t="s">
        <v>70</v>
      </c>
      <c r="I18" s="72"/>
      <c r="J18" s="71" t="s">
        <v>71</v>
      </c>
      <c r="K18" s="71" t="s">
        <v>72</v>
      </c>
      <c r="L18" s="72" t="s">
        <v>73</v>
      </c>
      <c r="M18" s="72"/>
      <c r="N18" s="72" t="s">
        <v>74</v>
      </c>
      <c r="O18" s="62" t="s">
        <v>75</v>
      </c>
      <c r="P18" s="62" t="s">
        <v>76</v>
      </c>
      <c r="Q18" s="73" t="s">
        <v>77</v>
      </c>
    </row>
    <row r="19" spans="1:19">
      <c r="A19" s="63" t="s">
        <v>78</v>
      </c>
      <c r="B19" s="72"/>
      <c r="C19" s="72"/>
      <c r="D19" s="73"/>
      <c r="E19" s="71"/>
      <c r="F19" s="71"/>
      <c r="G19" s="72"/>
      <c r="H19" s="72"/>
      <c r="I19" s="72"/>
      <c r="J19" s="71"/>
      <c r="K19" s="71"/>
      <c r="L19" s="72"/>
      <c r="M19" s="72"/>
      <c r="N19" s="72"/>
      <c r="O19" s="63" t="s">
        <v>79</v>
      </c>
      <c r="P19" s="63" t="s">
        <v>80</v>
      </c>
      <c r="Q19" s="73"/>
    </row>
  </sheetData>
  <mergeCells count="24">
    <mergeCell ref="K18:K19"/>
    <mergeCell ref="N18:N19"/>
    <mergeCell ref="Q18:Q19"/>
    <mergeCell ref="B18:C19"/>
    <mergeCell ref="H18:I19"/>
    <mergeCell ref="L18:M19"/>
    <mergeCell ref="D18:D19"/>
    <mergeCell ref="E18:E19"/>
    <mergeCell ref="F18:F19"/>
    <mergeCell ref="G18:G19"/>
    <mergeCell ref="J18:J19"/>
    <mergeCell ref="C9:E9"/>
    <mergeCell ref="B11:O11"/>
    <mergeCell ref="K14:L14"/>
    <mergeCell ref="M14:P14"/>
    <mergeCell ref="K15:L15"/>
    <mergeCell ref="M15:P15"/>
    <mergeCell ref="B1:O1"/>
    <mergeCell ref="B2:O2"/>
    <mergeCell ref="B3:O3"/>
    <mergeCell ref="B4:O4"/>
    <mergeCell ref="G8:H8"/>
    <mergeCell ref="J8:K8"/>
    <mergeCell ref="L8:M8"/>
  </mergeCells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U27"/>
  <sheetViews>
    <sheetView topLeftCell="A18" zoomScale="80" zoomScaleNormal="80" workbookViewId="0">
      <selection activeCell="C18" sqref="C18:D1048576"/>
    </sheetView>
  </sheetViews>
  <sheetFormatPr defaultColWidth="9.19921875" defaultRowHeight="13.15"/>
  <cols>
    <col min="1" max="1" width="10" style="47" customWidth="1"/>
    <col min="2" max="2" width="18" style="47" customWidth="1"/>
    <col min="3" max="3" width="3.796875" style="47" customWidth="1"/>
    <col min="4" max="4" width="11.796875" style="47" customWidth="1"/>
    <col min="5" max="5" width="3.796875" style="47" customWidth="1"/>
    <col min="6" max="6" width="8.46484375" style="47" customWidth="1"/>
    <col min="7" max="7" width="5.1328125" style="47" customWidth="1"/>
    <col min="8" max="8" width="3.796875" style="47" customWidth="1"/>
    <col min="9" max="9" width="4.796875" style="47" customWidth="1"/>
    <col min="10" max="10" width="4.19921875" style="47" customWidth="1"/>
    <col min="11" max="11" width="4.1328125" style="47" customWidth="1"/>
    <col min="12" max="12" width="2.796875" style="47" customWidth="1"/>
    <col min="13" max="13" width="4.46484375" style="47" customWidth="1"/>
    <col min="14" max="14" width="6.796875" style="47" customWidth="1"/>
    <col min="15" max="15" width="4.1328125" style="47" customWidth="1"/>
    <col min="16" max="16" width="4.46484375" style="47" customWidth="1"/>
    <col min="17" max="17" width="4.796875" style="47" customWidth="1"/>
    <col min="18" max="18" width="11.796875" style="47" customWidth="1"/>
    <col min="19" max="19" width="3.796875" style="47" customWidth="1"/>
    <col min="20" max="20" width="13.796875" style="47" customWidth="1"/>
    <col min="21" max="21" width="3.19921875" style="47" customWidth="1"/>
    <col min="22" max="16384" width="9.19921875" style="47"/>
  </cols>
  <sheetData>
    <row r="2" spans="1:21" ht="15" customHeight="1">
      <c r="A2" s="74" t="s">
        <v>81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</row>
    <row r="4" spans="1:21" ht="17.649999999999999">
      <c r="A4" s="74" t="s">
        <v>82</v>
      </c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</row>
    <row r="6" spans="1:21">
      <c r="A6" s="75" t="s">
        <v>83</v>
      </c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</row>
    <row r="7" spans="1:21" ht="23.1" customHeight="1">
      <c r="A7" s="75" t="str">
        <f>输出区!B1</f>
        <v>SHENZHEN JUNWEIHENG TECHNOLOGY CO.,LTD </v>
      </c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</row>
    <row r="8" spans="1:21" ht="64.25" customHeight="1">
      <c r="A8" s="75" t="str">
        <f>输出区!B2</f>
        <v>NO.701, BLOCK A, SHENFANG BUILDING NORTH HUAQIANG STREET, FUTIAN DISTRCT, SHENZHEN PROVINCE </v>
      </c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</row>
    <row r="9" spans="1:21">
      <c r="A9" s="75" t="s">
        <v>84</v>
      </c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</row>
    <row r="10" spans="1:21" ht="62.1" customHeight="1">
      <c r="A10" s="75" t="str">
        <f>输出区!B4</f>
        <v>AMAZON/ 21700 COPLEY DR, SUITE 268F DIAMOND BAR, CA 91765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</row>
    <row r="12" spans="1:21" ht="24" customHeight="1">
      <c r="A12" s="48" t="str">
        <f>输出区!A5</f>
        <v>报关模式：</v>
      </c>
      <c r="B12" s="48" t="str">
        <f>输出区!B5</f>
        <v xml:space="preserve">A.自有国内报关抬头 </v>
      </c>
      <c r="C12" s="48">
        <f>输出区!C5</f>
        <v>0</v>
      </c>
      <c r="D12" s="48" t="str">
        <f>输出区!E5</f>
        <v>B.买单出口</v>
      </c>
      <c r="E12" s="48" t="str">
        <f>输出区!F5</f>
        <v>Y</v>
      </c>
      <c r="F12" s="76" t="str">
        <f>输出区!A6</f>
        <v>清关模式：</v>
      </c>
      <c r="G12" s="76"/>
      <c r="H12" s="76" t="str">
        <f>输出区!B6</f>
        <v xml:space="preserve">A.自有BOND </v>
      </c>
      <c r="I12" s="76"/>
      <c r="J12" s="76"/>
      <c r="K12" s="48">
        <f>输出区!C6</f>
        <v>0</v>
      </c>
      <c r="L12" s="77" t="str">
        <f>输出区!E6</f>
        <v>B.借用BOND</v>
      </c>
      <c r="M12" s="77"/>
      <c r="N12" s="77"/>
      <c r="O12" s="48" t="str">
        <f>输出区!F6</f>
        <v>Y</v>
      </c>
      <c r="P12" s="76" t="str">
        <f>输出区!A7</f>
        <v>税金结算：</v>
      </c>
      <c r="Q12" s="76"/>
      <c r="R12" s="48" t="str">
        <f>输出区!B7</f>
        <v xml:space="preserve">A.包税清关 </v>
      </c>
      <c r="S12" s="48" t="str">
        <f>输出区!C7</f>
        <v>Y</v>
      </c>
      <c r="T12" s="48" t="str">
        <f>输出区!E7</f>
        <v>B.税金实报实销</v>
      </c>
      <c r="U12" s="48">
        <f>输出区!F7</f>
        <v>0</v>
      </c>
    </row>
    <row r="13" spans="1:21" ht="24.6" customHeight="1">
      <c r="A13" s="48" t="str">
        <f>输出区!A8</f>
        <v>运输方式：</v>
      </c>
      <c r="B13" s="48" t="str">
        <f>输出区!B8</f>
        <v xml:space="preserve">A.美森+快递 </v>
      </c>
      <c r="C13" s="48">
        <f>输出区!C8</f>
        <v>0</v>
      </c>
      <c r="D13" s="48" t="str">
        <f>输出区!E8</f>
        <v xml:space="preserve">B.普船+快递 </v>
      </c>
      <c r="E13" s="48">
        <f>输出区!F8</f>
        <v>0</v>
      </c>
      <c r="F13" s="76" t="str">
        <f>输出区!G8</f>
        <v xml:space="preserve">C.经济拼箱服务 </v>
      </c>
      <c r="G13" s="76"/>
      <c r="H13" s="48">
        <f>输出区!I8</f>
        <v>0</v>
      </c>
      <c r="I13" s="76" t="str">
        <f>输出区!J8</f>
        <v>D.海运+卡车专线</v>
      </c>
      <c r="J13" s="76"/>
      <c r="K13" s="76"/>
      <c r="L13" s="76"/>
      <c r="M13" s="48">
        <f>输出区!L8</f>
        <v>0</v>
      </c>
      <c r="N13" s="76" t="str">
        <f>输出区!N8</f>
        <v>E.空运+卡车</v>
      </c>
      <c r="O13" s="76"/>
      <c r="P13" s="76"/>
      <c r="Q13" s="48" t="str">
        <f>输出区!O8</f>
        <v>Y</v>
      </c>
      <c r="R13" s="48" t="str">
        <f>输出区!P8</f>
        <v xml:space="preserve">F.空运+快递 </v>
      </c>
      <c r="S13" s="48" t="str">
        <f>输出区!Q8</f>
        <v>Y</v>
      </c>
      <c r="T13" s="48"/>
      <c r="U13" s="48"/>
    </row>
    <row r="14" spans="1:21" ht="21" customHeight="1">
      <c r="A14" s="48" t="str">
        <f>输出区!A9</f>
        <v>是否带电：</v>
      </c>
      <c r="B14" s="48" t="str">
        <f>输出区!B9</f>
        <v>带电/不带电</v>
      </c>
      <c r="C14" s="76" t="str">
        <f>输出区!C9</f>
        <v>是否带磁：</v>
      </c>
      <c r="D14" s="76"/>
      <c r="E14" s="76" t="str">
        <f>输出区!F9</f>
        <v>带磁/不带磁</v>
      </c>
      <c r="F14" s="76"/>
      <c r="G14" s="48"/>
    </row>
    <row r="16" spans="1:21" ht="20.100000000000001" customHeight="1">
      <c r="A16" s="78" t="s">
        <v>85</v>
      </c>
      <c r="B16" s="78"/>
      <c r="C16" s="79" t="s">
        <v>86</v>
      </c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</row>
    <row r="17" spans="1:21" ht="20.100000000000001" customHeight="1">
      <c r="A17" s="78" t="s">
        <v>56</v>
      </c>
      <c r="B17" s="78"/>
      <c r="C17" s="79" t="str">
        <f>输出区!M15</f>
        <v>40GP</v>
      </c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</row>
    <row r="18" spans="1:21" ht="20.100000000000001" customHeight="1">
      <c r="A18" s="79" t="s">
        <v>87</v>
      </c>
      <c r="B18" s="78"/>
      <c r="C18" s="79"/>
      <c r="D18" s="79"/>
      <c r="E18" s="79" t="s">
        <v>88</v>
      </c>
      <c r="F18" s="7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ht="20.100000000000001" customHeight="1">
      <c r="A19" s="79" t="s">
        <v>89</v>
      </c>
      <c r="B19" s="78"/>
      <c r="C19" s="79"/>
      <c r="D19" s="79"/>
      <c r="E19" s="79" t="s">
        <v>90</v>
      </c>
      <c r="F19" s="7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ht="20.100000000000001" customHeight="1">
      <c r="A20" s="79" t="s">
        <v>91</v>
      </c>
      <c r="B20" s="78"/>
      <c r="C20" s="79"/>
      <c r="D20" s="79"/>
      <c r="E20" s="79" t="s">
        <v>92</v>
      </c>
      <c r="F20" s="7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7" spans="1:21">
      <c r="A27" s="50" t="s">
        <v>93</v>
      </c>
    </row>
  </sheetData>
  <mergeCells count="29">
    <mergeCell ref="A19:B19"/>
    <mergeCell ref="C19:D19"/>
    <mergeCell ref="E19:F19"/>
    <mergeCell ref="A20:B20"/>
    <mergeCell ref="C20:D20"/>
    <mergeCell ref="E20:F20"/>
    <mergeCell ref="A16:B16"/>
    <mergeCell ref="C16:U16"/>
    <mergeCell ref="A17:B17"/>
    <mergeCell ref="C17:U17"/>
    <mergeCell ref="A18:B18"/>
    <mergeCell ref="C18:D18"/>
    <mergeCell ref="E18:F18"/>
    <mergeCell ref="F13:G13"/>
    <mergeCell ref="I13:L13"/>
    <mergeCell ref="N13:P13"/>
    <mergeCell ref="C14:D14"/>
    <mergeCell ref="E14:F14"/>
    <mergeCell ref="A9:U9"/>
    <mergeCell ref="A10:U10"/>
    <mergeCell ref="F12:G12"/>
    <mergeCell ref="H12:J12"/>
    <mergeCell ref="L12:N12"/>
    <mergeCell ref="P12:Q12"/>
    <mergeCell ref="A2:U2"/>
    <mergeCell ref="A4:U4"/>
    <mergeCell ref="A6:U6"/>
    <mergeCell ref="A7:U7"/>
    <mergeCell ref="A8:U8"/>
  </mergeCells>
  <phoneticPr fontId="20" type="noConversion"/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topLeftCell="A13" zoomScale="60" zoomScaleNormal="60" workbookViewId="0">
      <selection activeCell="A13" sqref="A13:XFD1048576"/>
    </sheetView>
  </sheetViews>
  <sheetFormatPr defaultColWidth="9.46484375" defaultRowHeight="23.75" customHeight="1"/>
  <cols>
    <col min="1" max="1" width="14.19921875" style="38" customWidth="1"/>
    <col min="2" max="2" width="31.796875" style="6" customWidth="1"/>
    <col min="3" max="3" width="9.19921875" style="6" customWidth="1"/>
    <col min="4" max="4" width="7.796875" style="6" customWidth="1"/>
    <col min="5" max="5" width="12.796875" style="6" customWidth="1"/>
    <col min="6" max="6" width="19.1328125" style="6" customWidth="1"/>
    <col min="7" max="7" width="15.46484375" style="6" customWidth="1"/>
    <col min="8" max="16384" width="9.46484375" style="6"/>
  </cols>
  <sheetData>
    <row r="1" spans="1:6" ht="20.65">
      <c r="A1" s="80" t="str">
        <f>输出区!B1</f>
        <v>SHENZHEN JUNWEIHENG TECHNOLOGY CO.,LTD </v>
      </c>
      <c r="B1" s="80"/>
      <c r="C1" s="80"/>
      <c r="D1" s="80"/>
      <c r="E1" s="80"/>
      <c r="F1" s="80"/>
    </row>
    <row r="2" spans="1:6" ht="15">
      <c r="A2" s="81" t="str">
        <f>输出区!B2</f>
        <v>NO.701, BLOCK A, SHENFANG BUILDING NORTH HUAQIANG STREET, FUTIAN DISTRCT, SHENZHEN PROVINCE </v>
      </c>
      <c r="B2" s="81"/>
      <c r="C2" s="81"/>
      <c r="D2" s="81"/>
      <c r="E2" s="81"/>
      <c r="F2" s="81"/>
    </row>
    <row r="3" spans="1:6" ht="21.75" customHeight="1">
      <c r="A3" s="82"/>
      <c r="B3" s="82"/>
      <c r="C3" s="82"/>
      <c r="D3" s="82"/>
      <c r="E3" s="82"/>
      <c r="F3" s="82"/>
    </row>
    <row r="4" spans="1:6" ht="17.649999999999999">
      <c r="A4" s="83" t="s">
        <v>94</v>
      </c>
      <c r="B4" s="83"/>
      <c r="C4" s="83"/>
      <c r="D4" s="83"/>
      <c r="E4" s="83"/>
      <c r="F4" s="83"/>
    </row>
    <row r="5" spans="1:6" ht="24.6" customHeight="1">
      <c r="A5" s="86" t="str">
        <f>输出区!B4</f>
        <v>AMAZON/ 21700 COPLEY DR, SUITE 268F DIAMOND BAR, CA 91765</v>
      </c>
      <c r="B5" s="86"/>
      <c r="C5" s="86"/>
      <c r="D5" s="2"/>
      <c r="E5" s="3" t="str">
        <f>输出区!B11</f>
        <v>INVOICE NO.: 2019/03/21</v>
      </c>
      <c r="F5" s="3"/>
    </row>
    <row r="6" spans="1:6" ht="28.25" customHeight="1">
      <c r="A6" s="86"/>
      <c r="B6" s="86"/>
      <c r="C6" s="86"/>
      <c r="D6" s="2"/>
      <c r="E6" s="3" t="str">
        <f>输出区!B12</f>
        <v>CONTRACT NO.: LAX20190321</v>
      </c>
      <c r="F6" s="3"/>
    </row>
    <row r="7" spans="1:6" ht="18" customHeight="1">
      <c r="A7" s="86"/>
      <c r="B7" s="86"/>
      <c r="C7" s="86"/>
      <c r="D7" s="2"/>
      <c r="E7" s="3" t="str">
        <f>输出区!B13</f>
        <v xml:space="preserve">DATE: </v>
      </c>
      <c r="F7" s="7">
        <f ca="1">TODAY()</f>
        <v>45733</v>
      </c>
    </row>
    <row r="8" spans="1:6" ht="27" customHeight="1">
      <c r="A8" s="3" t="str">
        <f>输出区!B15</f>
        <v>SHIPMENT FROM : QUANZHOU</v>
      </c>
      <c r="B8" s="5"/>
      <c r="C8" s="3"/>
      <c r="D8" s="3"/>
      <c r="F8" s="3"/>
    </row>
    <row r="9" spans="1:6" ht="24.6" customHeight="1">
      <c r="A9" s="7" t="str">
        <f>输出区!B16</f>
        <v>TO:US BY AIR</v>
      </c>
      <c r="B9" s="5"/>
      <c r="C9" s="3"/>
      <c r="D9" s="3"/>
      <c r="E9" s="8"/>
      <c r="F9" s="3"/>
    </row>
    <row r="10" spans="1:6" ht="24.6" customHeight="1">
      <c r="A10" s="9" t="s">
        <v>95</v>
      </c>
      <c r="B10" s="7" t="str">
        <f>输出区!H14</f>
        <v>FOB</v>
      </c>
      <c r="D10" s="3"/>
      <c r="E10" s="3" t="str">
        <f>输出区!B14</f>
        <v>PAYMENT: T/T</v>
      </c>
      <c r="F10" s="3"/>
    </row>
    <row r="11" spans="1:6" ht="24.6" customHeight="1">
      <c r="A11" s="7"/>
      <c r="B11" s="5"/>
      <c r="C11" s="46"/>
      <c r="D11" s="46"/>
      <c r="E11" s="46"/>
      <c r="F11" s="46"/>
    </row>
    <row r="12" spans="1:6" ht="30">
      <c r="A12" s="10" t="s">
        <v>62</v>
      </c>
      <c r="B12" s="11" t="s">
        <v>65</v>
      </c>
      <c r="C12" s="84" t="s">
        <v>96</v>
      </c>
      <c r="D12" s="85"/>
      <c r="E12" s="10" t="s">
        <v>97</v>
      </c>
      <c r="F12" s="10" t="s">
        <v>98</v>
      </c>
    </row>
  </sheetData>
  <mergeCells count="6">
    <mergeCell ref="A1:F1"/>
    <mergeCell ref="A2:F2"/>
    <mergeCell ref="A3:F3"/>
    <mergeCell ref="A4:F4"/>
    <mergeCell ref="C12:D12"/>
    <mergeCell ref="A5:C7"/>
  </mergeCells>
  <phoneticPr fontId="20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2"/>
  <sheetViews>
    <sheetView topLeftCell="A13" zoomScale="60" zoomScaleNormal="60" workbookViewId="0">
      <selection activeCell="A13" sqref="A13:XFD1048576"/>
    </sheetView>
  </sheetViews>
  <sheetFormatPr defaultColWidth="9.46484375" defaultRowHeight="15"/>
  <cols>
    <col min="1" max="1" width="10.46484375" style="36" customWidth="1"/>
    <col min="2" max="2" width="23.46484375" style="37" customWidth="1"/>
    <col min="3" max="3" width="9.46484375" style="37"/>
    <col min="4" max="4" width="7.796875" style="37" customWidth="1"/>
    <col min="5" max="5" width="6" style="38" customWidth="1"/>
    <col min="6" max="6" width="4.46484375" style="38" customWidth="1"/>
    <col min="7" max="8" width="11.1328125" style="39" customWidth="1"/>
    <col min="9" max="9" width="13.19921875" style="38" customWidth="1"/>
    <col min="10" max="10" width="18.46484375" style="37" customWidth="1"/>
    <col min="11" max="16384" width="9.46484375" style="37"/>
  </cols>
  <sheetData>
    <row r="1" spans="1:9" ht="20.65">
      <c r="A1" s="80" t="str">
        <f>输出区!B1</f>
        <v>SHENZHEN JUNWEIHENG TECHNOLOGY CO.,LTD </v>
      </c>
      <c r="B1" s="80"/>
      <c r="C1" s="80"/>
      <c r="D1" s="80"/>
      <c r="E1" s="80"/>
      <c r="F1" s="80"/>
      <c r="G1" s="89"/>
      <c r="H1" s="89"/>
      <c r="I1" s="80"/>
    </row>
    <row r="2" spans="1:9">
      <c r="A2" s="82" t="str">
        <f>输出区!B2</f>
        <v>NO.701, BLOCK A, SHENFANG BUILDING NORTH HUAQIANG STREET, FUTIAN DISTRCT, SHENZHEN PROVINCE </v>
      </c>
      <c r="B2" s="82"/>
      <c r="C2" s="82"/>
      <c r="D2" s="82"/>
      <c r="E2" s="82"/>
      <c r="F2" s="82"/>
      <c r="G2" s="90"/>
      <c r="H2" s="90"/>
      <c r="I2" s="82"/>
    </row>
    <row r="3" spans="1:9" ht="21.75" customHeight="1">
      <c r="A3" s="82"/>
      <c r="B3" s="82"/>
      <c r="C3" s="82"/>
      <c r="D3" s="82"/>
      <c r="E3" s="82"/>
      <c r="F3" s="82"/>
      <c r="G3" s="90"/>
      <c r="H3" s="90"/>
      <c r="I3" s="82"/>
    </row>
    <row r="4" spans="1:9" ht="33.75" customHeight="1">
      <c r="A4" s="37"/>
      <c r="B4" s="83" t="s">
        <v>99</v>
      </c>
      <c r="C4" s="83"/>
      <c r="D4" s="83"/>
      <c r="E4" s="83"/>
      <c r="F4" s="83"/>
      <c r="G4" s="91"/>
      <c r="H4" s="91"/>
      <c r="I4" s="37"/>
    </row>
    <row r="5" spans="1:9" ht="24" customHeight="1">
      <c r="A5" s="88" t="str">
        <f>输出区!B4</f>
        <v>AMAZON/ 21700 COPLEY DR, SUITE 268F DIAMOND BAR, CA 91765</v>
      </c>
      <c r="B5" s="88"/>
      <c r="C5" s="88"/>
      <c r="D5" s="40"/>
      <c r="E5" s="3" t="str">
        <f>输出区!B11</f>
        <v>INVOICE NO.: 2019/03/21</v>
      </c>
      <c r="F5" s="3"/>
      <c r="G5" s="41"/>
      <c r="I5" s="37"/>
    </row>
    <row r="6" spans="1:9" ht="24" customHeight="1">
      <c r="A6" s="88"/>
      <c r="B6" s="88"/>
      <c r="C6" s="88"/>
      <c r="D6" s="40"/>
      <c r="E6" s="3" t="str">
        <f>输出区!B12</f>
        <v>CONTRACT NO.: LAX20190321</v>
      </c>
      <c r="F6" s="3"/>
      <c r="G6" s="41"/>
      <c r="I6" s="37"/>
    </row>
    <row r="7" spans="1:9" ht="24" customHeight="1">
      <c r="A7" s="88"/>
      <c r="B7" s="88"/>
      <c r="C7" s="88"/>
      <c r="D7" s="40"/>
      <c r="E7" s="3" t="str">
        <f>输出区!B13</f>
        <v xml:space="preserve">DATE: </v>
      </c>
      <c r="F7" s="92">
        <f ca="1">TODAY()</f>
        <v>45733</v>
      </c>
      <c r="G7" s="93"/>
      <c r="H7" s="93"/>
      <c r="I7" s="37"/>
    </row>
    <row r="8" spans="1:9" ht="24" customHeight="1">
      <c r="A8" s="3" t="str">
        <f>输出区!B15</f>
        <v>SHIPMENT FROM : QUANZHOU</v>
      </c>
      <c r="B8" s="40"/>
      <c r="C8" s="40"/>
      <c r="D8" s="40"/>
      <c r="E8" s="3"/>
      <c r="F8" s="3"/>
      <c r="G8" s="41"/>
      <c r="I8" s="37"/>
    </row>
    <row r="9" spans="1:9" ht="24" customHeight="1">
      <c r="A9" s="7" t="str">
        <f>输出区!B16</f>
        <v>TO:US BY AIR</v>
      </c>
      <c r="B9" s="40"/>
      <c r="C9" s="40"/>
      <c r="D9" s="40"/>
      <c r="E9" s="3"/>
      <c r="F9" s="3"/>
      <c r="G9" s="41"/>
      <c r="I9" s="37"/>
    </row>
    <row r="10" spans="1:9" ht="24" customHeight="1">
      <c r="A10" s="9" t="s">
        <v>95</v>
      </c>
      <c r="B10" s="7" t="str">
        <f>输出区!H14</f>
        <v>FOB</v>
      </c>
      <c r="C10" s="19"/>
      <c r="D10" s="19"/>
      <c r="E10" s="3" t="str">
        <f>输出区!B14</f>
        <v>PAYMENT: T/T</v>
      </c>
      <c r="F10" s="37"/>
      <c r="G10" s="41"/>
      <c r="I10" s="37"/>
    </row>
    <row r="11" spans="1:9" ht="22.5" customHeight="1">
      <c r="A11" s="3"/>
      <c r="B11" s="5"/>
      <c r="C11" s="42"/>
      <c r="D11" s="42"/>
      <c r="E11" s="42"/>
      <c r="F11" s="42"/>
      <c r="G11" s="43"/>
      <c r="I11" s="37" t="s">
        <v>100</v>
      </c>
    </row>
    <row r="12" spans="1:9" ht="36" customHeight="1">
      <c r="A12" s="10" t="s">
        <v>62</v>
      </c>
      <c r="B12" s="10" t="s">
        <v>65</v>
      </c>
      <c r="C12" s="87" t="s">
        <v>96</v>
      </c>
      <c r="D12" s="87"/>
      <c r="E12" s="87" t="s">
        <v>101</v>
      </c>
      <c r="F12" s="87"/>
      <c r="G12" s="44" t="s">
        <v>102</v>
      </c>
      <c r="H12" s="44" t="s">
        <v>103</v>
      </c>
      <c r="I12" s="45" t="s">
        <v>104</v>
      </c>
    </row>
  </sheetData>
  <mergeCells count="8">
    <mergeCell ref="C12:D12"/>
    <mergeCell ref="E12:F12"/>
    <mergeCell ref="A5:C7"/>
    <mergeCell ref="A1:I1"/>
    <mergeCell ref="A2:I2"/>
    <mergeCell ref="A3:I3"/>
    <mergeCell ref="B4:H4"/>
    <mergeCell ref="F7:H7"/>
  </mergeCells>
  <phoneticPr fontId="20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22"/>
  <sheetViews>
    <sheetView topLeftCell="A23" zoomScale="60" zoomScaleNormal="60" workbookViewId="0">
      <selection activeCell="A23" sqref="A23:XFD1048576"/>
    </sheetView>
  </sheetViews>
  <sheetFormatPr defaultColWidth="9.46484375" defaultRowHeight="13.9"/>
  <cols>
    <col min="1" max="1" width="2.19921875" customWidth="1"/>
    <col min="2" max="2" width="11.796875" customWidth="1"/>
    <col min="3" max="3" width="23.1328125" customWidth="1"/>
    <col min="4" max="4" width="7.796875" customWidth="1"/>
    <col min="5" max="5" width="10.19921875" customWidth="1"/>
    <col min="6" max="6" width="6.796875" customWidth="1"/>
    <col min="7" max="7" width="1.46484375" customWidth="1"/>
    <col min="8" max="8" width="7.796875" customWidth="1"/>
    <col min="9" max="9" width="11.46484375" customWidth="1"/>
    <col min="10" max="10" width="0.19921875" hidden="1" customWidth="1"/>
    <col min="11" max="11" width="10.796875" customWidth="1"/>
    <col min="12" max="12" width="10" customWidth="1"/>
  </cols>
  <sheetData>
    <row r="1" spans="1:12" ht="23.25" customHeight="1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</row>
    <row r="2" spans="1:12" s="18" customFormat="1" ht="9.75" customHeight="1"/>
    <row r="3" spans="1:12" s="18" customFormat="1" ht="18" customHeight="1">
      <c r="A3" s="20"/>
      <c r="B3" s="21"/>
      <c r="I3" s="32"/>
      <c r="J3" s="33"/>
      <c r="K3" s="96"/>
      <c r="L3" s="96"/>
    </row>
    <row r="4" spans="1:12" s="18" customFormat="1" ht="8.25" customHeight="1"/>
    <row r="5" spans="1:12" s="18" customFormat="1">
      <c r="A5" s="97">
        <f>输出区!B3</f>
        <v>0</v>
      </c>
      <c r="B5" s="97"/>
      <c r="C5" s="97"/>
      <c r="D5" s="20"/>
      <c r="E5" s="20" t="s">
        <v>105</v>
      </c>
      <c r="F5" s="20"/>
      <c r="G5" s="20"/>
      <c r="H5" s="20"/>
      <c r="I5"/>
      <c r="J5"/>
      <c r="K5"/>
      <c r="L5" s="34"/>
    </row>
    <row r="6" spans="1:12" s="18" customFormat="1" ht="10.5" customHeight="1">
      <c r="G6" s="21"/>
    </row>
    <row r="7" spans="1:12" s="18" customFormat="1" ht="12.75">
      <c r="A7" s="97">
        <f>输出区!B3</f>
        <v>0</v>
      </c>
      <c r="B7" s="97"/>
      <c r="C7" s="97"/>
      <c r="D7" s="20"/>
      <c r="E7" s="22" t="s">
        <v>106</v>
      </c>
      <c r="F7" s="22"/>
      <c r="H7" s="23" t="s">
        <v>107</v>
      </c>
      <c r="L7" s="35"/>
    </row>
    <row r="8" spans="1:12" s="18" customFormat="1" ht="10.5" customHeight="1"/>
    <row r="9" spans="1:12" s="18" customFormat="1" ht="10.5" customHeight="1"/>
    <row r="10" spans="1:12" s="18" customFormat="1" ht="13.5">
      <c r="C10" s="20"/>
      <c r="D10" s="20" t="str">
        <f>输出区!H16</f>
        <v>美国</v>
      </c>
      <c r="E10" s="21"/>
      <c r="F10" s="20" t="str">
        <f>输出区!H16</f>
        <v>美国</v>
      </c>
      <c r="G10" s="20"/>
      <c r="H10" s="20"/>
      <c r="I10" s="20" t="str">
        <f>输出区!H15</f>
        <v>泉州</v>
      </c>
    </row>
    <row r="11" spans="1:12" s="18" customFormat="1" ht="8.25" customHeight="1">
      <c r="E11" s="21"/>
      <c r="F11" s="21"/>
      <c r="I11" s="21"/>
      <c r="J11" s="21"/>
      <c r="K11" s="21"/>
    </row>
    <row r="12" spans="1:12" s="18" customFormat="1" ht="14.25">
      <c r="B12" s="24"/>
      <c r="C12" s="21"/>
      <c r="D12" s="20" t="str">
        <f>输出区!H14</f>
        <v>FOB</v>
      </c>
      <c r="E12" s="25"/>
      <c r="F12" s="26"/>
      <c r="H12" s="27" t="s">
        <v>108</v>
      </c>
      <c r="K12" s="98" t="s">
        <v>108</v>
      </c>
      <c r="L12" s="98"/>
    </row>
    <row r="13" spans="1:12" s="18" customFormat="1" ht="9.75" customHeight="1"/>
    <row r="14" spans="1:12" s="18" customFormat="1" ht="13.5">
      <c r="B14" s="21" t="str">
        <f>输出区!B12</f>
        <v>CONTRACT NO.: LAX20190321</v>
      </c>
      <c r="D14" s="27">
        <v>0</v>
      </c>
      <c r="E14" s="22" t="s">
        <v>109</v>
      </c>
      <c r="F14" s="22"/>
      <c r="H14" s="27">
        <v>0</v>
      </c>
      <c r="I14" s="27" t="s">
        <v>100</v>
      </c>
      <c r="J14" s="27"/>
      <c r="K14" s="27"/>
      <c r="L14" s="27">
        <v>0</v>
      </c>
    </row>
    <row r="15" spans="1:12" s="18" customFormat="1" ht="12.75"/>
    <row r="16" spans="1:12" s="18" customFormat="1" ht="12.75"/>
    <row r="17" spans="1:14" s="18" customFormat="1" ht="14.25" customHeight="1">
      <c r="A17" s="28"/>
      <c r="B17" s="28"/>
      <c r="C17" s="29"/>
      <c r="D17" s="28"/>
      <c r="E17" s="28"/>
      <c r="F17" s="28"/>
      <c r="G17" s="28"/>
      <c r="H17" s="28"/>
      <c r="I17" s="28"/>
      <c r="J17" s="28"/>
      <c r="K17" s="28"/>
      <c r="L17" s="28"/>
    </row>
    <row r="18" spans="1:14" s="19" customFormat="1" ht="15" customHeight="1">
      <c r="B18" s="28" t="str">
        <f>输出区!B17</f>
        <v>N/M</v>
      </c>
      <c r="C18" s="29"/>
      <c r="D18" s="28"/>
      <c r="E18" s="28"/>
      <c r="F18" s="28"/>
      <c r="G18" s="28"/>
      <c r="H18" s="28"/>
      <c r="I18" s="28"/>
      <c r="J18" s="28"/>
      <c r="K18" s="28"/>
      <c r="L18" s="28"/>
    </row>
    <row r="19" spans="1:14" s="19" customFormat="1" ht="21.6" customHeight="1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1:14" s="19" customFormat="1" ht="18.600000000000001" customHeight="1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</row>
    <row r="21" spans="1:14" s="19" customFormat="1" ht="22.5" customHeight="1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</row>
    <row r="22" spans="1:14" s="19" customFormat="1" ht="24.6" customHeight="1">
      <c r="B22"/>
      <c r="C22" s="30"/>
      <c r="D22" s="31"/>
      <c r="E22" s="31"/>
      <c r="F22" s="31"/>
      <c r="N22" s="20"/>
    </row>
  </sheetData>
  <mergeCells count="5">
    <mergeCell ref="A1:L1"/>
    <mergeCell ref="K3:L3"/>
    <mergeCell ref="A5:C5"/>
    <mergeCell ref="A7:C7"/>
    <mergeCell ref="K12:L12"/>
  </mergeCells>
  <phoneticPr fontId="20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"/>
  <sheetViews>
    <sheetView topLeftCell="A3" zoomScale="60" zoomScaleNormal="60" workbookViewId="0">
      <selection activeCell="A3" sqref="A3:XFD1048576"/>
    </sheetView>
  </sheetViews>
  <sheetFormatPr defaultColWidth="9.46484375" defaultRowHeight="12.75"/>
  <cols>
    <col min="1" max="1" width="11.796875" style="12" customWidth="1"/>
    <col min="2" max="2" width="25.46484375" style="12" customWidth="1"/>
    <col min="3" max="3" width="34.796875" style="12" customWidth="1"/>
    <col min="4" max="4" width="24" style="12" customWidth="1"/>
    <col min="5" max="5" width="18.1328125" style="12" customWidth="1"/>
    <col min="6" max="16384" width="9.46484375" style="13"/>
  </cols>
  <sheetData>
    <row r="1" spans="1:5" ht="21.75" customHeight="1">
      <c r="A1" s="14" t="s">
        <v>80</v>
      </c>
    </row>
    <row r="2" spans="1:5" ht="24" customHeight="1">
      <c r="A2" s="15" t="s">
        <v>78</v>
      </c>
      <c r="B2" s="16" t="s">
        <v>0</v>
      </c>
      <c r="C2" s="16" t="s">
        <v>110</v>
      </c>
      <c r="D2" s="16" t="s">
        <v>111</v>
      </c>
      <c r="E2" s="17" t="s">
        <v>12</v>
      </c>
    </row>
  </sheetData>
  <phoneticPr fontId="20" type="noConversion"/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1"/>
  <sheetViews>
    <sheetView topLeftCell="A12" zoomScale="60" zoomScaleNormal="60" workbookViewId="0">
      <selection activeCell="A12" sqref="A12:XFD1048576"/>
    </sheetView>
  </sheetViews>
  <sheetFormatPr defaultColWidth="9.46484375" defaultRowHeight="13.9"/>
  <cols>
    <col min="1" max="1" width="12.796875" customWidth="1"/>
    <col min="2" max="2" width="29.796875" customWidth="1"/>
    <col min="3" max="3" width="9.796875" customWidth="1"/>
    <col min="4" max="4" width="10.86328125" customWidth="1"/>
    <col min="5" max="5" width="15.46484375" customWidth="1"/>
    <col min="6" max="6" width="17.796875" style="1" customWidth="1"/>
  </cols>
  <sheetData>
    <row r="1" spans="1:6" ht="20.65">
      <c r="A1" s="80" t="str">
        <f>输出区!B1</f>
        <v>SHENZHEN JUNWEIHENG TECHNOLOGY CO.,LTD </v>
      </c>
      <c r="B1" s="80"/>
      <c r="C1" s="80"/>
      <c r="D1" s="80"/>
      <c r="E1" s="80"/>
      <c r="F1" s="80"/>
    </row>
    <row r="2" spans="1:6">
      <c r="A2" s="81" t="str">
        <f>输出区!B2</f>
        <v>NO.701, BLOCK A, SHENFANG BUILDING NORTH HUAQIANG STREET, FUTIAN DISTRCT, SHENZHEN PROVINCE </v>
      </c>
      <c r="B2" s="81"/>
      <c r="C2" s="81"/>
      <c r="D2" s="81"/>
      <c r="E2" s="81"/>
      <c r="F2" s="81"/>
    </row>
    <row r="3" spans="1:6" ht="21.75" customHeight="1">
      <c r="A3" s="82"/>
      <c r="B3" s="82"/>
      <c r="C3" s="82"/>
      <c r="D3" s="82"/>
      <c r="E3" s="82"/>
      <c r="F3" s="82"/>
    </row>
    <row r="4" spans="1:6" ht="33.75" customHeight="1">
      <c r="A4" s="83" t="s">
        <v>112</v>
      </c>
      <c r="B4" s="83"/>
      <c r="C4" s="83"/>
      <c r="D4" s="83"/>
      <c r="E4" s="83"/>
      <c r="F4" s="83"/>
    </row>
    <row r="5" spans="1:6">
      <c r="A5" s="86" t="str">
        <f>输出区!B4</f>
        <v>AMAZON/ 21700 COPLEY DR, SUITE 268F DIAMOND BAR, CA 91765</v>
      </c>
      <c r="B5" s="86"/>
      <c r="C5" s="86"/>
      <c r="D5" s="2"/>
      <c r="E5" s="3" t="str">
        <f>输出区!B11</f>
        <v>INVOICE NO.: 2019/03/21</v>
      </c>
      <c r="F5" s="3"/>
    </row>
    <row r="6" spans="1:6">
      <c r="A6" s="86"/>
      <c r="B6" s="86"/>
      <c r="C6" s="86"/>
      <c r="D6" s="2"/>
      <c r="E6" s="3" t="str">
        <f>输出区!B12</f>
        <v>CONTRACT NO.: LAX20190321</v>
      </c>
      <c r="F6" s="3"/>
    </row>
    <row r="7" spans="1:6">
      <c r="A7" s="86"/>
      <c r="B7" s="86"/>
      <c r="C7" s="86"/>
      <c r="D7" s="2"/>
      <c r="E7" s="3" t="str">
        <f>输出区!B13</f>
        <v xml:space="preserve">DATE: </v>
      </c>
      <c r="F7" s="4"/>
    </row>
    <row r="8" spans="1:6" ht="15">
      <c r="A8" s="3" t="str">
        <f>输出区!B15</f>
        <v>SHIPMENT FROM : QUANZHOU</v>
      </c>
      <c r="B8" s="5"/>
      <c r="C8" s="3"/>
      <c r="D8" s="3"/>
      <c r="E8" s="6"/>
      <c r="F8" s="4"/>
    </row>
    <row r="9" spans="1:6">
      <c r="A9" s="7" t="str">
        <f>输出区!B16</f>
        <v>TO:US BY AIR</v>
      </c>
      <c r="B9" s="5"/>
      <c r="C9" s="3"/>
      <c r="D9" s="3"/>
      <c r="E9" s="8"/>
      <c r="F9" s="4"/>
    </row>
    <row r="10" spans="1:6" ht="30" customHeight="1">
      <c r="A10" s="9" t="s">
        <v>95</v>
      </c>
      <c r="B10" s="7" t="str">
        <f>输出区!H14</f>
        <v>FOB</v>
      </c>
      <c r="C10" s="6"/>
      <c r="D10" s="3"/>
      <c r="E10" s="3" t="str">
        <f>输出区!B14</f>
        <v>PAYMENT: T/T</v>
      </c>
      <c r="F10" s="4"/>
    </row>
    <row r="11" spans="1:6" ht="37.5" customHeight="1">
      <c r="A11" s="10" t="s">
        <v>62</v>
      </c>
      <c r="B11" s="11" t="s">
        <v>65</v>
      </c>
      <c r="C11" s="84" t="s">
        <v>96</v>
      </c>
      <c r="D11" s="85"/>
      <c r="E11" s="10" t="s">
        <v>97</v>
      </c>
      <c r="F11" s="10" t="s">
        <v>98</v>
      </c>
    </row>
  </sheetData>
  <mergeCells count="6">
    <mergeCell ref="A1:F1"/>
    <mergeCell ref="A2:F2"/>
    <mergeCell ref="A3:F3"/>
    <mergeCell ref="A4:F4"/>
    <mergeCell ref="C11:D11"/>
    <mergeCell ref="A5:C7"/>
  </mergeCells>
  <phoneticPr fontId="20" type="noConversion"/>
  <pageMargins left="0.7" right="0.7" top="0.75" bottom="0.75" header="0.3" footer="0.3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4" master="" otherUserPermission="visible"/>
  <rangeList sheetStid="2" master="" otherUserPermission="visible"/>
  <rangeList sheetStid="5" master="" otherUserPermission="visible"/>
  <rangeList sheetStid="6" master="" otherUserPermission="visible"/>
  <rangeList sheetStid="7" master="" otherUserPermission="visible"/>
  <rangeList sheetStid="8" master="" otherUserPermission="visible"/>
  <rangeList sheetStid="9" master="" otherUserPermission="visible"/>
  <rangeList sheetStid="10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操作区</vt:lpstr>
      <vt:lpstr>数据区</vt:lpstr>
      <vt:lpstr>输出区</vt:lpstr>
      <vt:lpstr>托书</vt:lpstr>
      <vt:lpstr>发票</vt:lpstr>
      <vt:lpstr>装箱单</vt:lpstr>
      <vt:lpstr>报关单1</vt:lpstr>
      <vt:lpstr>申报要素</vt:lpstr>
      <vt:lpstr>合同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Wang</dc:creator>
  <cp:lastModifiedBy>li Bruce</cp:lastModifiedBy>
  <dcterms:created xsi:type="dcterms:W3CDTF">2015-06-05T18:17:00Z</dcterms:created>
  <dcterms:modified xsi:type="dcterms:W3CDTF">2025-03-17T10:18:03Z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50105E4599B549B2B62C333808112520_13</vt:lpwstr>
  </property>
  <property fmtid="{D5CDD505-2E9C-101B-9397-08002B2CF9AE}" pid="3" name="KSOProductBuildVer">
    <vt:lpwstr>2052-12.1.0.20305</vt:lpwstr>
  </property>
</Properties>
</file>